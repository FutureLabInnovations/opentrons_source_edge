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tleg" sheetId="1" state="visible" r:id="rId1"/>
    <sheet name="Parameters" sheetId="2" state="visible" r:id="rId2"/>
    <sheet name="A630" sheetId="3" state="visible" r:id="rId3"/>
    <sheet name="A450" sheetId="4" state="visible" r:id="rId4"/>
    <sheet name="A750" sheetId="5" state="visible" r:id="rId5"/>
    <sheet name="Volumes" sheetId="6" state="visible" r:id="rId6"/>
    <sheet name="Statistie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</font>
    <font>
      <b val="1"/>
      <sz val="11"/>
    </font>
    <font>
      <b val="1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5" fillId="0" borderId="0" pivotButton="0" quotePrefix="0" xfId="0"/>
    <xf numFmtId="165" fontId="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0" fillId="3" borderId="1" pivotButton="0" quotePrefix="0" xfId="0"/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696B"/>
        </patternFill>
      </fill>
    </dxf>
    <dxf>
      <fill>
        <patternFill patternType="solid">
          <fgColor rgb="00FFC000"/>
        </patternFill>
      </fill>
    </dxf>
    <dxf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Dual-dye volume-verificatie rekensheet (laag volume, ~1 uL)</t>
        </is>
      </c>
    </row>
    <row r="2">
      <c r="A2" t="inlineStr"/>
    </row>
    <row r="3">
      <c r="A3" s="2" t="inlineStr">
        <is>
          <t>DOEL: nauwkeurigheid (%D) en precisie (CV) meten van lage-volume transfers,</t>
        </is>
      </c>
    </row>
    <row r="4">
      <c r="A4" s="2" t="inlineStr">
        <is>
          <t>per kanaal, met goedkope food dyes op een gewone plate reader (bv. BioTek Epoch).</t>
        </is>
      </c>
    </row>
    <row r="5">
      <c r="A5" t="inlineStr"/>
    </row>
    <row r="6">
      <c r="A6" s="3" t="inlineStr">
        <is>
          <t>KLEURSTOFFEN</t>
        </is>
      </c>
    </row>
    <row r="7">
      <c r="A7" t="inlineStr">
        <is>
          <t xml:space="preserve">  - Volume-dye:     Brilliant Blue FCF (FD&amp;C Blue 1) -&gt; lees @ 630 nm. Hoge epsilon = top gevoeligheid bij 1 uL.</t>
        </is>
      </c>
    </row>
    <row r="8">
      <c r="A8" t="inlineStr">
        <is>
          <t xml:space="preserve">  - Pathlength-dye: Tartrazine (FD&amp;C Yellow 5)       -&gt; lees @ 450 nm. Zit in de pre-fill, meet vloeistofhoogte.</t>
        </is>
      </c>
    </row>
    <row r="9">
      <c r="A9" t="inlineStr">
        <is>
          <t xml:space="preserve">  - Referentie:     @ 750 nm (optioneel) -&gt; blanco-venster, haalt krassen/condens/verstrooiing eruit.</t>
        </is>
      </c>
    </row>
    <row r="10">
      <c r="A10" t="inlineStr"/>
    </row>
    <row r="11">
      <c r="A11" s="3" t="inlineStr">
        <is>
          <t>WERKWIJZE</t>
        </is>
      </c>
    </row>
    <row r="12">
      <c r="A12" t="inlineStr">
        <is>
          <t xml:space="preserve">  1. Pre-fill elke well met 200 uL tartrazine-oplossing (+0.01% Tween-20).</t>
        </is>
      </c>
    </row>
    <row r="13">
      <c r="A13" t="inlineStr">
        <is>
          <t xml:space="preserve">  2. CALIBRATIE: dispenseer een NAUWKEURIG bekend volume (bv. 10 uL, gravimetrisch geverifieerd)</t>
        </is>
      </c>
    </row>
    <row r="14">
      <c r="A14" t="inlineStr">
        <is>
          <t xml:space="preserve">     blauw-stock in een paar wells. Vul tabblad 'Parameters' in -&gt; sheet berekent K.</t>
        </is>
      </c>
    </row>
    <row r="15">
      <c r="A15" t="inlineStr">
        <is>
          <t xml:space="preserve">  3. Meet eenmalig k (crosstalk): lees PURE blauw-oplossing @450 en @630, vul k = A450/A630 in.</t>
        </is>
      </c>
    </row>
    <row r="16">
      <c r="A16" t="inlineStr">
        <is>
          <t xml:space="preserve">  4. METING: dispenseer je testvolume (bv. 1 uL) blauw in alle wells, mix, lees @630/@450/@750.</t>
        </is>
      </c>
    </row>
    <row r="17">
      <c r="A17" t="inlineStr">
        <is>
          <t xml:space="preserve">  5. Plak de reader-export in de tabbladen 'A630', 'A450' en 'A750'.</t>
        </is>
      </c>
    </row>
    <row r="18">
      <c r="A18" t="inlineStr">
        <is>
          <t xml:space="preserve">  6. Lees resultaten af in 'Volumes' en 'Statistiek'.</t>
        </is>
      </c>
    </row>
    <row r="19">
      <c r="A19" t="inlineStr"/>
    </row>
    <row r="20">
      <c r="A20" s="3" t="inlineStr">
        <is>
          <t>FORMULE (per well)</t>
        </is>
      </c>
    </row>
    <row r="21">
      <c r="A21" t="inlineStr">
        <is>
          <t xml:space="preserve">  net630   = A630 - A750</t>
        </is>
      </c>
    </row>
    <row r="22">
      <c r="A22" t="inlineStr">
        <is>
          <t xml:space="preserve">  net450   = A450 - A750</t>
        </is>
      </c>
    </row>
    <row r="23">
      <c r="A23" t="inlineStr">
        <is>
          <t xml:space="preserve">  tar_corr = net450 - k * net630          (corrigeert blauw-staart bij 450 nm)</t>
        </is>
      </c>
    </row>
    <row r="24">
      <c r="A24" t="inlineStr">
        <is>
          <t xml:space="preserve">  ratio    = net630 / tar_corr</t>
        </is>
      </c>
    </row>
    <row r="25">
      <c r="A25" t="inlineStr">
        <is>
          <t xml:space="preserve">  Volume   = K * ratio                    (K uit calibratie)</t>
        </is>
      </c>
    </row>
    <row r="26">
      <c r="A26" t="inlineStr"/>
    </row>
    <row r="27">
      <c r="A27" s="2" t="inlineStr">
        <is>
          <t>KLEURCODES: geel = jij vult in   |   groen = automatisch berekend</t>
        </is>
      </c>
    </row>
    <row r="28">
      <c r="A28" s="2" t="inlineStr">
        <is>
          <t>In 'Statistiek': %D en CV worden rood (&gt;10%), oranje (5-10%) of groen (&lt;5%).</t>
        </is>
      </c>
    </row>
    <row r="29">
      <c r="A29" t="inlineStr"/>
    </row>
    <row r="30">
      <c r="A30" s="2" t="inlineStr">
        <is>
          <t>TIP: als je GEEN tartrazine/750 gebruikt (alleen blauw), laat die rasters op 0 staan en</t>
        </is>
      </c>
    </row>
    <row r="31">
      <c r="A31" s="2" t="inlineStr">
        <is>
          <t>gebruik de simpele modus: zet in Parameters 'k'=0; de pathlength-correctie vervalt dan.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0" customWidth="1" min="3" max="3"/>
  </cols>
  <sheetData>
    <row r="1">
      <c r="A1" s="1" t="inlineStr">
        <is>
          <t>PARAMETERS</t>
        </is>
      </c>
    </row>
    <row r="3">
      <c r="A3" s="3" t="inlineStr">
        <is>
          <t>Vaste / fysische constanten</t>
        </is>
      </c>
    </row>
    <row r="4">
      <c r="A4" s="4" t="inlineStr">
        <is>
          <t>epsilon Brilliant Blue @630 (M-1 cm-1)</t>
        </is>
      </c>
      <c r="B4" s="5" t="n">
        <v>130000</v>
      </c>
      <c r="C4" s="2" t="inlineStr">
        <is>
          <t>literatuur ~130.000</t>
        </is>
      </c>
    </row>
    <row r="5">
      <c r="A5" s="4" t="inlineStr">
        <is>
          <t>epsilon Tartrazine @450 (M-1 cm-1)</t>
        </is>
      </c>
      <c r="B5" s="5" t="n">
        <v>27300</v>
      </c>
      <c r="C5" s="2" t="inlineStr">
        <is>
          <t>informatief; K vangt dit op</t>
        </is>
      </c>
    </row>
    <row r="6">
      <c r="A6" s="4" t="inlineStr">
        <is>
          <t>Blauw-stock concentratie (mg/mL)</t>
        </is>
      </c>
      <c r="B6" s="6" t="n">
        <v>1</v>
      </c>
      <c r="C6" s="2" t="inlineStr">
        <is>
          <t>~1 mg/mL geeft ~0.5 OD bij 1 uL in 200 uL</t>
        </is>
      </c>
    </row>
    <row r="7">
      <c r="A7" s="4" t="inlineStr">
        <is>
          <t>Tartrazine pre-fill conc (mg/mL)</t>
        </is>
      </c>
      <c r="B7" s="6" t="n">
        <v>0.03</v>
      </c>
      <c r="C7" s="2" t="inlineStr">
        <is>
          <t>tune tot A450 ~0.5-1.0 OD</t>
        </is>
      </c>
    </row>
    <row r="8">
      <c r="A8" s="4" t="inlineStr">
        <is>
          <t>Pre-fill volume V_pre (uL)</t>
        </is>
      </c>
      <c r="B8" s="5" t="n">
        <v>200</v>
      </c>
    </row>
    <row r="9">
      <c r="A9" s="4" t="inlineStr">
        <is>
          <t>Doelvolume / target (uL)</t>
        </is>
      </c>
      <c r="B9" s="6" t="n">
        <v>1</v>
      </c>
      <c r="C9" s="2" t="inlineStr">
        <is>
          <t>wat je probeert te dispenseren</t>
        </is>
      </c>
    </row>
    <row r="10">
      <c r="A10" s="4" t="inlineStr">
        <is>
          <t>Welgeometrie oppervlak (cm2)</t>
        </is>
      </c>
      <c r="B10" s="7" t="n">
        <v>0.3217</v>
      </c>
      <c r="C10" s="2" t="inlineStr">
        <is>
          <t>96-well flat ~0.32 cm2 (informatief)</t>
        </is>
      </c>
    </row>
    <row r="12">
      <c r="A12" s="3" t="inlineStr">
        <is>
          <t>Crosstalk-correctie</t>
        </is>
      </c>
    </row>
    <row r="13">
      <c r="A13" s="4" t="inlineStr">
        <is>
          <t>k = A450/A630 van PURE blauw</t>
        </is>
      </c>
      <c r="B13" s="6" t="n">
        <v>0.1</v>
      </c>
      <c r="C13" s="2" t="inlineStr">
        <is>
          <t>Meet 1x: lees pure blauw-oplossing @450 en @630. Zet 0 voor simpele modus.</t>
        </is>
      </c>
    </row>
    <row r="15">
      <c r="A15" s="3" t="inlineStr">
        <is>
          <t>CALIBRATIE  -&gt;  bepaalt constante K</t>
        </is>
      </c>
    </row>
    <row r="16">
      <c r="A16" s="4" t="inlineStr">
        <is>
          <t>Bekend gedispenseerd volume V_cal (uL)</t>
        </is>
      </c>
      <c r="B16" s="6" t="n">
        <v>10</v>
      </c>
      <c r="C16" s="2" t="inlineStr">
        <is>
          <t>Gebruik nauwkeurig/gravimetrisch geverifieerd volume</t>
        </is>
      </c>
    </row>
    <row r="17">
      <c r="A17" s="4" t="inlineStr">
        <is>
          <t>Gemeten A630 (calibratie-well)</t>
        </is>
      </c>
      <c r="B17" s="6" t="n">
        <v>0.5</v>
      </c>
    </row>
    <row r="18">
      <c r="A18" s="4" t="inlineStr">
        <is>
          <t>Gemeten A450 (calibratie-well)</t>
        </is>
      </c>
      <c r="B18" s="6" t="n">
        <v>0.8</v>
      </c>
    </row>
    <row r="19">
      <c r="A19" s="4" t="inlineStr">
        <is>
          <t>Gemeten A750 (calibratie-well)</t>
        </is>
      </c>
      <c r="B19" s="6" t="n">
        <v>0</v>
      </c>
      <c r="C19" s="2" t="inlineStr">
        <is>
          <t>laat 0 indien niet gebruikt</t>
        </is>
      </c>
    </row>
    <row r="20">
      <c r="A20" s="2" t="inlineStr">
        <is>
          <t xml:space="preserve">  net630_cal = A630-A750</t>
        </is>
      </c>
      <c r="B20" s="8">
        <f>B17-B19</f>
        <v/>
      </c>
    </row>
    <row r="21">
      <c r="A21" s="2" t="inlineStr">
        <is>
          <t xml:space="preserve">  net450_cal = A450-A750</t>
        </is>
      </c>
      <c r="B21" s="8">
        <f>B18-B19</f>
        <v/>
      </c>
    </row>
    <row r="22">
      <c r="A22" s="2" t="inlineStr">
        <is>
          <t xml:space="preserve">  tar_corr_cal = net450 - k*net630</t>
        </is>
      </c>
      <c r="B22" s="8">
        <f>B21-B13*B20</f>
        <v/>
      </c>
    </row>
    <row r="23">
      <c r="A23" s="2" t="inlineStr">
        <is>
          <t xml:space="preserve">  ratio_cal = net630/tar_corr</t>
        </is>
      </c>
      <c r="B23" s="8">
        <f>IFERROR(B20/B22,"")</f>
        <v/>
      </c>
    </row>
    <row r="25">
      <c r="A25" s="9" t="inlineStr">
        <is>
          <t>K (calibratieconstante)</t>
        </is>
      </c>
      <c r="B25" s="10">
        <f>IFERROR(B16/B23,"")</f>
        <v/>
      </c>
      <c r="C25" s="2" t="inlineStr">
        <is>
          <t>Volume = K * ratio  (wordt door 'Volumes' gebruikt)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3" t="inlineStr">
        <is>
          <t>Ruwe absorbantie @ 630 nm  (Brilliant Blue = volume-dye)   -- plak reader-export hier</t>
        </is>
      </c>
    </row>
    <row r="2">
      <c r="A2" s="4" t="inlineStr">
        <is>
          <t>rij \ kolom</t>
        </is>
      </c>
      <c r="B2" s="11" t="n">
        <v>1</v>
      </c>
      <c r="C2" s="11" t="n">
        <v>2</v>
      </c>
      <c r="D2" s="11" t="n">
        <v>3</v>
      </c>
      <c r="E2" s="11" t="n">
        <v>4</v>
      </c>
      <c r="F2" s="11" t="n">
        <v>5</v>
      </c>
      <c r="G2" s="11" t="n">
        <v>6</v>
      </c>
      <c r="H2" s="11" t="n">
        <v>7</v>
      </c>
      <c r="I2" s="11" t="n">
        <v>8</v>
      </c>
      <c r="J2" s="11" t="n">
        <v>9</v>
      </c>
      <c r="K2" s="11" t="n">
        <v>10</v>
      </c>
      <c r="L2" s="11" t="n">
        <v>11</v>
      </c>
      <c r="M2" s="11" t="n">
        <v>12</v>
      </c>
    </row>
    <row r="3">
      <c r="A3" s="12" t="inlineStr">
        <is>
          <t>A</t>
        </is>
      </c>
      <c r="B3" s="13" t="n">
        <v>0</v>
      </c>
      <c r="C3" s="13" t="n">
        <v>0</v>
      </c>
      <c r="D3" s="13" t="n">
        <v>0</v>
      </c>
      <c r="E3" s="13" t="n">
        <v>0</v>
      </c>
      <c r="F3" s="13" t="n">
        <v>0</v>
      </c>
      <c r="G3" s="13" t="n">
        <v>0</v>
      </c>
      <c r="H3" s="13" t="n">
        <v>0</v>
      </c>
      <c r="I3" s="13" t="n">
        <v>0</v>
      </c>
      <c r="J3" s="13" t="n">
        <v>0</v>
      </c>
      <c r="K3" s="13" t="n">
        <v>0</v>
      </c>
      <c r="L3" s="13" t="n">
        <v>0</v>
      </c>
      <c r="M3" s="13" t="n">
        <v>0</v>
      </c>
    </row>
    <row r="4">
      <c r="A4" s="12" t="inlineStr">
        <is>
          <t>B</t>
        </is>
      </c>
      <c r="B4" s="13" t="n">
        <v>0</v>
      </c>
      <c r="C4" s="13" t="n">
        <v>0</v>
      </c>
      <c r="D4" s="13" t="n">
        <v>0</v>
      </c>
      <c r="E4" s="13" t="n">
        <v>0</v>
      </c>
      <c r="F4" s="13" t="n">
        <v>0</v>
      </c>
      <c r="G4" s="13" t="n">
        <v>0</v>
      </c>
      <c r="H4" s="13" t="n">
        <v>0</v>
      </c>
      <c r="I4" s="13" t="n">
        <v>0</v>
      </c>
      <c r="J4" s="13" t="n">
        <v>0</v>
      </c>
      <c r="K4" s="13" t="n">
        <v>0</v>
      </c>
      <c r="L4" s="13" t="n">
        <v>0</v>
      </c>
      <c r="M4" s="13" t="n">
        <v>0</v>
      </c>
    </row>
    <row r="5">
      <c r="A5" s="12" t="inlineStr">
        <is>
          <t>C</t>
        </is>
      </c>
      <c r="B5" s="13" t="n">
        <v>0</v>
      </c>
      <c r="C5" s="13" t="n">
        <v>0</v>
      </c>
      <c r="D5" s="13" t="n">
        <v>0</v>
      </c>
      <c r="E5" s="13" t="n">
        <v>0</v>
      </c>
      <c r="F5" s="13" t="n">
        <v>0</v>
      </c>
      <c r="G5" s="13" t="n">
        <v>0</v>
      </c>
      <c r="H5" s="13" t="n">
        <v>0</v>
      </c>
      <c r="I5" s="13" t="n">
        <v>0</v>
      </c>
      <c r="J5" s="13" t="n">
        <v>0</v>
      </c>
      <c r="K5" s="13" t="n">
        <v>0</v>
      </c>
      <c r="L5" s="13" t="n">
        <v>0</v>
      </c>
      <c r="M5" s="13" t="n">
        <v>0</v>
      </c>
    </row>
    <row r="6">
      <c r="A6" s="12" t="inlineStr">
        <is>
          <t>D</t>
        </is>
      </c>
      <c r="B6" s="13" t="n">
        <v>0</v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n">
        <v>0</v>
      </c>
      <c r="J6" s="13" t="n">
        <v>0</v>
      </c>
      <c r="K6" s="13" t="n">
        <v>0</v>
      </c>
      <c r="L6" s="13" t="n">
        <v>0</v>
      </c>
      <c r="M6" s="13" t="n">
        <v>0</v>
      </c>
    </row>
    <row r="7">
      <c r="A7" s="12" t="inlineStr">
        <is>
          <t>E</t>
        </is>
      </c>
      <c r="B7" s="13" t="n">
        <v>0</v>
      </c>
      <c r="C7" s="13" t="n">
        <v>0</v>
      </c>
      <c r="D7" s="13" t="n">
        <v>0</v>
      </c>
      <c r="E7" s="13" t="n">
        <v>0</v>
      </c>
      <c r="F7" s="13" t="n">
        <v>0</v>
      </c>
      <c r="G7" s="13" t="n">
        <v>0</v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0</v>
      </c>
      <c r="M7" s="13" t="n">
        <v>0</v>
      </c>
    </row>
    <row r="8">
      <c r="A8" s="12" t="inlineStr">
        <is>
          <t>F</t>
        </is>
      </c>
      <c r="B8" s="13" t="n">
        <v>0</v>
      </c>
      <c r="C8" s="13" t="n">
        <v>0</v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v>0</v>
      </c>
      <c r="I8" s="13" t="n">
        <v>0</v>
      </c>
      <c r="J8" s="13" t="n">
        <v>0</v>
      </c>
      <c r="K8" s="13" t="n">
        <v>0</v>
      </c>
      <c r="L8" s="13" t="n">
        <v>0</v>
      </c>
      <c r="M8" s="13" t="n">
        <v>0</v>
      </c>
    </row>
    <row r="9">
      <c r="A9" s="12" t="inlineStr">
        <is>
          <t>G</t>
        </is>
      </c>
      <c r="B9" s="13" t="n">
        <v>0</v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0</v>
      </c>
      <c r="M9" s="13" t="n">
        <v>0</v>
      </c>
    </row>
    <row r="10">
      <c r="A10" s="12" t="inlineStr">
        <is>
          <t>H</t>
        </is>
      </c>
      <c r="B10" s="13" t="n">
        <v>0</v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3" t="inlineStr">
        <is>
          <t>Ruwe absorbantie @ 450 nm  (Tartrazine = pathlength-dye)    -- plak reader-export hier</t>
        </is>
      </c>
    </row>
    <row r="2">
      <c r="A2" s="4" t="inlineStr">
        <is>
          <t>rij \ kolom</t>
        </is>
      </c>
      <c r="B2" s="11" t="n">
        <v>1</v>
      </c>
      <c r="C2" s="11" t="n">
        <v>2</v>
      </c>
      <c r="D2" s="11" t="n">
        <v>3</v>
      </c>
      <c r="E2" s="11" t="n">
        <v>4</v>
      </c>
      <c r="F2" s="11" t="n">
        <v>5</v>
      </c>
      <c r="G2" s="11" t="n">
        <v>6</v>
      </c>
      <c r="H2" s="11" t="n">
        <v>7</v>
      </c>
      <c r="I2" s="11" t="n">
        <v>8</v>
      </c>
      <c r="J2" s="11" t="n">
        <v>9</v>
      </c>
      <c r="K2" s="11" t="n">
        <v>10</v>
      </c>
      <c r="L2" s="11" t="n">
        <v>11</v>
      </c>
      <c r="M2" s="11" t="n">
        <v>12</v>
      </c>
    </row>
    <row r="3">
      <c r="A3" s="12" t="inlineStr">
        <is>
          <t>A</t>
        </is>
      </c>
      <c r="B3" s="13" t="n">
        <v>0</v>
      </c>
      <c r="C3" s="13" t="n">
        <v>0</v>
      </c>
      <c r="D3" s="13" t="n">
        <v>0</v>
      </c>
      <c r="E3" s="13" t="n">
        <v>0</v>
      </c>
      <c r="F3" s="13" t="n">
        <v>0</v>
      </c>
      <c r="G3" s="13" t="n">
        <v>0</v>
      </c>
      <c r="H3" s="13" t="n">
        <v>0</v>
      </c>
      <c r="I3" s="13" t="n">
        <v>0</v>
      </c>
      <c r="J3" s="13" t="n">
        <v>0</v>
      </c>
      <c r="K3" s="13" t="n">
        <v>0</v>
      </c>
      <c r="L3" s="13" t="n">
        <v>0</v>
      </c>
      <c r="M3" s="13" t="n">
        <v>0</v>
      </c>
    </row>
    <row r="4">
      <c r="A4" s="12" t="inlineStr">
        <is>
          <t>B</t>
        </is>
      </c>
      <c r="B4" s="13" t="n">
        <v>0</v>
      </c>
      <c r="C4" s="13" t="n">
        <v>0</v>
      </c>
      <c r="D4" s="13" t="n">
        <v>0</v>
      </c>
      <c r="E4" s="13" t="n">
        <v>0</v>
      </c>
      <c r="F4" s="13" t="n">
        <v>0</v>
      </c>
      <c r="G4" s="13" t="n">
        <v>0</v>
      </c>
      <c r="H4" s="13" t="n">
        <v>0</v>
      </c>
      <c r="I4" s="13" t="n">
        <v>0</v>
      </c>
      <c r="J4" s="13" t="n">
        <v>0</v>
      </c>
      <c r="K4" s="13" t="n">
        <v>0</v>
      </c>
      <c r="L4" s="13" t="n">
        <v>0</v>
      </c>
      <c r="M4" s="13" t="n">
        <v>0</v>
      </c>
    </row>
    <row r="5">
      <c r="A5" s="12" t="inlineStr">
        <is>
          <t>C</t>
        </is>
      </c>
      <c r="B5" s="13" t="n">
        <v>0</v>
      </c>
      <c r="C5" s="13" t="n">
        <v>0</v>
      </c>
      <c r="D5" s="13" t="n">
        <v>0</v>
      </c>
      <c r="E5" s="13" t="n">
        <v>0</v>
      </c>
      <c r="F5" s="13" t="n">
        <v>0</v>
      </c>
      <c r="G5" s="13" t="n">
        <v>0</v>
      </c>
      <c r="H5" s="13" t="n">
        <v>0</v>
      </c>
      <c r="I5" s="13" t="n">
        <v>0</v>
      </c>
      <c r="J5" s="13" t="n">
        <v>0</v>
      </c>
      <c r="K5" s="13" t="n">
        <v>0</v>
      </c>
      <c r="L5" s="13" t="n">
        <v>0</v>
      </c>
      <c r="M5" s="13" t="n">
        <v>0</v>
      </c>
    </row>
    <row r="6">
      <c r="A6" s="12" t="inlineStr">
        <is>
          <t>D</t>
        </is>
      </c>
      <c r="B6" s="13" t="n">
        <v>0</v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n">
        <v>0</v>
      </c>
      <c r="J6" s="13" t="n">
        <v>0</v>
      </c>
      <c r="K6" s="13" t="n">
        <v>0</v>
      </c>
      <c r="L6" s="13" t="n">
        <v>0</v>
      </c>
      <c r="M6" s="13" t="n">
        <v>0</v>
      </c>
    </row>
    <row r="7">
      <c r="A7" s="12" t="inlineStr">
        <is>
          <t>E</t>
        </is>
      </c>
      <c r="B7" s="13" t="n">
        <v>0</v>
      </c>
      <c r="C7" s="13" t="n">
        <v>0</v>
      </c>
      <c r="D7" s="13" t="n">
        <v>0</v>
      </c>
      <c r="E7" s="13" t="n">
        <v>0</v>
      </c>
      <c r="F7" s="13" t="n">
        <v>0</v>
      </c>
      <c r="G7" s="13" t="n">
        <v>0</v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0</v>
      </c>
      <c r="M7" s="13" t="n">
        <v>0</v>
      </c>
    </row>
    <row r="8">
      <c r="A8" s="12" t="inlineStr">
        <is>
          <t>F</t>
        </is>
      </c>
      <c r="B8" s="13" t="n">
        <v>0</v>
      </c>
      <c r="C8" s="13" t="n">
        <v>0</v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v>0</v>
      </c>
      <c r="I8" s="13" t="n">
        <v>0</v>
      </c>
      <c r="J8" s="13" t="n">
        <v>0</v>
      </c>
      <c r="K8" s="13" t="n">
        <v>0</v>
      </c>
      <c r="L8" s="13" t="n">
        <v>0</v>
      </c>
      <c r="M8" s="13" t="n">
        <v>0</v>
      </c>
    </row>
    <row r="9">
      <c r="A9" s="12" t="inlineStr">
        <is>
          <t>G</t>
        </is>
      </c>
      <c r="B9" s="13" t="n">
        <v>0</v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0</v>
      </c>
      <c r="M9" s="13" t="n">
        <v>0</v>
      </c>
    </row>
    <row r="10">
      <c r="A10" s="12" t="inlineStr">
        <is>
          <t>H</t>
        </is>
      </c>
      <c r="B10" s="13" t="n">
        <v>0</v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3" t="inlineStr">
        <is>
          <t>Ruwe absorbantie @ 750 nm  (referentie/blanco -- optioneel, laat 0 indien ongebruikt)</t>
        </is>
      </c>
    </row>
    <row r="2">
      <c r="A2" s="4" t="inlineStr">
        <is>
          <t>rij \ kolom</t>
        </is>
      </c>
      <c r="B2" s="11" t="n">
        <v>1</v>
      </c>
      <c r="C2" s="11" t="n">
        <v>2</v>
      </c>
      <c r="D2" s="11" t="n">
        <v>3</v>
      </c>
      <c r="E2" s="11" t="n">
        <v>4</v>
      </c>
      <c r="F2" s="11" t="n">
        <v>5</v>
      </c>
      <c r="G2" s="11" t="n">
        <v>6</v>
      </c>
      <c r="H2" s="11" t="n">
        <v>7</v>
      </c>
      <c r="I2" s="11" t="n">
        <v>8</v>
      </c>
      <c r="J2" s="11" t="n">
        <v>9</v>
      </c>
      <c r="K2" s="11" t="n">
        <v>10</v>
      </c>
      <c r="L2" s="11" t="n">
        <v>11</v>
      </c>
      <c r="M2" s="11" t="n">
        <v>12</v>
      </c>
    </row>
    <row r="3">
      <c r="A3" s="12" t="inlineStr">
        <is>
          <t>A</t>
        </is>
      </c>
      <c r="B3" s="13" t="n">
        <v>0</v>
      </c>
      <c r="C3" s="13" t="n">
        <v>0</v>
      </c>
      <c r="D3" s="13" t="n">
        <v>0</v>
      </c>
      <c r="E3" s="13" t="n">
        <v>0</v>
      </c>
      <c r="F3" s="13" t="n">
        <v>0</v>
      </c>
      <c r="G3" s="13" t="n">
        <v>0</v>
      </c>
      <c r="H3" s="13" t="n">
        <v>0</v>
      </c>
      <c r="I3" s="13" t="n">
        <v>0</v>
      </c>
      <c r="J3" s="13" t="n">
        <v>0</v>
      </c>
      <c r="K3" s="13" t="n">
        <v>0</v>
      </c>
      <c r="L3" s="13" t="n">
        <v>0</v>
      </c>
      <c r="M3" s="13" t="n">
        <v>0</v>
      </c>
    </row>
    <row r="4">
      <c r="A4" s="12" t="inlineStr">
        <is>
          <t>B</t>
        </is>
      </c>
      <c r="B4" s="13" t="n">
        <v>0</v>
      </c>
      <c r="C4" s="13" t="n">
        <v>0</v>
      </c>
      <c r="D4" s="13" t="n">
        <v>0</v>
      </c>
      <c r="E4" s="13" t="n">
        <v>0</v>
      </c>
      <c r="F4" s="13" t="n">
        <v>0</v>
      </c>
      <c r="G4" s="13" t="n">
        <v>0</v>
      </c>
      <c r="H4" s="13" t="n">
        <v>0</v>
      </c>
      <c r="I4" s="13" t="n">
        <v>0</v>
      </c>
      <c r="J4" s="13" t="n">
        <v>0</v>
      </c>
      <c r="K4" s="13" t="n">
        <v>0</v>
      </c>
      <c r="L4" s="13" t="n">
        <v>0</v>
      </c>
      <c r="M4" s="13" t="n">
        <v>0</v>
      </c>
    </row>
    <row r="5">
      <c r="A5" s="12" t="inlineStr">
        <is>
          <t>C</t>
        </is>
      </c>
      <c r="B5" s="13" t="n">
        <v>0</v>
      </c>
      <c r="C5" s="13" t="n">
        <v>0</v>
      </c>
      <c r="D5" s="13" t="n">
        <v>0</v>
      </c>
      <c r="E5" s="13" t="n">
        <v>0</v>
      </c>
      <c r="F5" s="13" t="n">
        <v>0</v>
      </c>
      <c r="G5" s="13" t="n">
        <v>0</v>
      </c>
      <c r="H5" s="13" t="n">
        <v>0</v>
      </c>
      <c r="I5" s="13" t="n">
        <v>0</v>
      </c>
      <c r="J5" s="13" t="n">
        <v>0</v>
      </c>
      <c r="K5" s="13" t="n">
        <v>0</v>
      </c>
      <c r="L5" s="13" t="n">
        <v>0</v>
      </c>
      <c r="M5" s="13" t="n">
        <v>0</v>
      </c>
    </row>
    <row r="6">
      <c r="A6" s="12" t="inlineStr">
        <is>
          <t>D</t>
        </is>
      </c>
      <c r="B6" s="13" t="n">
        <v>0</v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n">
        <v>0</v>
      </c>
      <c r="J6" s="13" t="n">
        <v>0</v>
      </c>
      <c r="K6" s="13" t="n">
        <v>0</v>
      </c>
      <c r="L6" s="13" t="n">
        <v>0</v>
      </c>
      <c r="M6" s="13" t="n">
        <v>0</v>
      </c>
    </row>
    <row r="7">
      <c r="A7" s="12" t="inlineStr">
        <is>
          <t>E</t>
        </is>
      </c>
      <c r="B7" s="13" t="n">
        <v>0</v>
      </c>
      <c r="C7" s="13" t="n">
        <v>0</v>
      </c>
      <c r="D7" s="13" t="n">
        <v>0</v>
      </c>
      <c r="E7" s="13" t="n">
        <v>0</v>
      </c>
      <c r="F7" s="13" t="n">
        <v>0</v>
      </c>
      <c r="G7" s="13" t="n">
        <v>0</v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0</v>
      </c>
      <c r="M7" s="13" t="n">
        <v>0</v>
      </c>
    </row>
    <row r="8">
      <c r="A8" s="12" t="inlineStr">
        <is>
          <t>F</t>
        </is>
      </c>
      <c r="B8" s="13" t="n">
        <v>0</v>
      </c>
      <c r="C8" s="13" t="n">
        <v>0</v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v>0</v>
      </c>
      <c r="I8" s="13" t="n">
        <v>0</v>
      </c>
      <c r="J8" s="13" t="n">
        <v>0</v>
      </c>
      <c r="K8" s="13" t="n">
        <v>0</v>
      </c>
      <c r="L8" s="13" t="n">
        <v>0</v>
      </c>
      <c r="M8" s="13" t="n">
        <v>0</v>
      </c>
    </row>
    <row r="9">
      <c r="A9" s="12" t="inlineStr">
        <is>
          <t>G</t>
        </is>
      </c>
      <c r="B9" s="13" t="n">
        <v>0</v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0</v>
      </c>
      <c r="M9" s="13" t="n">
        <v>0</v>
      </c>
    </row>
    <row r="10">
      <c r="A10" s="12" t="inlineStr">
        <is>
          <t>H</t>
        </is>
      </c>
      <c r="B10" s="13" t="n">
        <v>0</v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3" t="inlineStr">
        <is>
          <t>Berekend gedispenseerd volume per well (uL)</t>
        </is>
      </c>
    </row>
    <row r="2">
      <c r="A2" s="4" t="inlineStr">
        <is>
          <t>rij \ kolom</t>
        </is>
      </c>
      <c r="B2" s="11" t="n">
        <v>1</v>
      </c>
      <c r="C2" s="11" t="n">
        <v>2</v>
      </c>
      <c r="D2" s="11" t="n">
        <v>3</v>
      </c>
      <c r="E2" s="11" t="n">
        <v>4</v>
      </c>
      <c r="F2" s="11" t="n">
        <v>5</v>
      </c>
      <c r="G2" s="11" t="n">
        <v>6</v>
      </c>
      <c r="H2" s="11" t="n">
        <v>7</v>
      </c>
      <c r="I2" s="11" t="n">
        <v>8</v>
      </c>
      <c r="J2" s="11" t="n">
        <v>9</v>
      </c>
      <c r="K2" s="11" t="n">
        <v>10</v>
      </c>
      <c r="L2" s="11" t="n">
        <v>11</v>
      </c>
      <c r="M2" s="11" t="n">
        <v>12</v>
      </c>
    </row>
    <row r="3">
      <c r="A3" s="12" t="inlineStr">
        <is>
          <t>A</t>
        </is>
      </c>
      <c r="B3" s="14">
        <f>IFERROR(Parameters!$B$25*(('A630'!B3-'A750'!B3)/(('A450'!B3-'A750'!B3)-Parameters!$B$13*('A630'!B3-'A750'!B3))),"")</f>
        <v/>
      </c>
      <c r="C3" s="14">
        <f>IFERROR(Parameters!$B$25*(('A630'!C3-'A750'!C3)/(('A450'!C3-'A750'!C3)-Parameters!$B$13*('A630'!C3-'A750'!C3))),"")</f>
        <v/>
      </c>
      <c r="D3" s="14">
        <f>IFERROR(Parameters!$B$25*(('A630'!D3-'A750'!D3)/(('A450'!D3-'A750'!D3)-Parameters!$B$13*('A630'!D3-'A750'!D3))),"")</f>
        <v/>
      </c>
      <c r="E3" s="14">
        <f>IFERROR(Parameters!$B$25*(('A630'!E3-'A750'!E3)/(('A450'!E3-'A750'!E3)-Parameters!$B$13*('A630'!E3-'A750'!E3))),"")</f>
        <v/>
      </c>
      <c r="F3" s="14">
        <f>IFERROR(Parameters!$B$25*(('A630'!F3-'A750'!F3)/(('A450'!F3-'A750'!F3)-Parameters!$B$13*('A630'!F3-'A750'!F3))),"")</f>
        <v/>
      </c>
      <c r="G3" s="14">
        <f>IFERROR(Parameters!$B$25*(('A630'!G3-'A750'!G3)/(('A450'!G3-'A750'!G3)-Parameters!$B$13*('A630'!G3-'A750'!G3))),"")</f>
        <v/>
      </c>
      <c r="H3" s="14">
        <f>IFERROR(Parameters!$B$25*(('A630'!H3-'A750'!H3)/(('A450'!H3-'A750'!H3)-Parameters!$B$13*('A630'!H3-'A750'!H3))),"")</f>
        <v/>
      </c>
      <c r="I3" s="14">
        <f>IFERROR(Parameters!$B$25*(('A630'!I3-'A750'!I3)/(('A450'!I3-'A750'!I3)-Parameters!$B$13*('A630'!I3-'A750'!I3))),"")</f>
        <v/>
      </c>
      <c r="J3" s="14">
        <f>IFERROR(Parameters!$B$25*(('A630'!J3-'A750'!J3)/(('A450'!J3-'A750'!J3)-Parameters!$B$13*('A630'!J3-'A750'!J3))),"")</f>
        <v/>
      </c>
      <c r="K3" s="14">
        <f>IFERROR(Parameters!$B$25*(('A630'!K3-'A750'!K3)/(('A450'!K3-'A750'!K3)-Parameters!$B$13*('A630'!K3-'A750'!K3))),"")</f>
        <v/>
      </c>
      <c r="L3" s="14">
        <f>IFERROR(Parameters!$B$25*(('A630'!L3-'A750'!L3)/(('A450'!L3-'A750'!L3)-Parameters!$B$13*('A630'!L3-'A750'!L3))),"")</f>
        <v/>
      </c>
      <c r="M3" s="14">
        <f>IFERROR(Parameters!$B$25*(('A630'!M3-'A750'!M3)/(('A450'!M3-'A750'!M3)-Parameters!$B$13*('A630'!M3-'A750'!M3))),"")</f>
        <v/>
      </c>
    </row>
    <row r="4">
      <c r="A4" s="12" t="inlineStr">
        <is>
          <t>B</t>
        </is>
      </c>
      <c r="B4" s="14">
        <f>IFERROR(Parameters!$B$25*(('A630'!B4-'A750'!B4)/(('A450'!B4-'A750'!B4)-Parameters!$B$13*('A630'!B4-'A750'!B4))),"")</f>
        <v/>
      </c>
      <c r="C4" s="14">
        <f>IFERROR(Parameters!$B$25*(('A630'!C4-'A750'!C4)/(('A450'!C4-'A750'!C4)-Parameters!$B$13*('A630'!C4-'A750'!C4))),"")</f>
        <v/>
      </c>
      <c r="D4" s="14">
        <f>IFERROR(Parameters!$B$25*(('A630'!D4-'A750'!D4)/(('A450'!D4-'A750'!D4)-Parameters!$B$13*('A630'!D4-'A750'!D4))),"")</f>
        <v/>
      </c>
      <c r="E4" s="14">
        <f>IFERROR(Parameters!$B$25*(('A630'!E4-'A750'!E4)/(('A450'!E4-'A750'!E4)-Parameters!$B$13*('A630'!E4-'A750'!E4))),"")</f>
        <v/>
      </c>
      <c r="F4" s="14">
        <f>IFERROR(Parameters!$B$25*(('A630'!F4-'A750'!F4)/(('A450'!F4-'A750'!F4)-Parameters!$B$13*('A630'!F4-'A750'!F4))),"")</f>
        <v/>
      </c>
      <c r="G4" s="14">
        <f>IFERROR(Parameters!$B$25*(('A630'!G4-'A750'!G4)/(('A450'!G4-'A750'!G4)-Parameters!$B$13*('A630'!G4-'A750'!G4))),"")</f>
        <v/>
      </c>
      <c r="H4" s="14">
        <f>IFERROR(Parameters!$B$25*(('A630'!H4-'A750'!H4)/(('A450'!H4-'A750'!H4)-Parameters!$B$13*('A630'!H4-'A750'!H4))),"")</f>
        <v/>
      </c>
      <c r="I4" s="14">
        <f>IFERROR(Parameters!$B$25*(('A630'!I4-'A750'!I4)/(('A450'!I4-'A750'!I4)-Parameters!$B$13*('A630'!I4-'A750'!I4))),"")</f>
        <v/>
      </c>
      <c r="J4" s="14">
        <f>IFERROR(Parameters!$B$25*(('A630'!J4-'A750'!J4)/(('A450'!J4-'A750'!J4)-Parameters!$B$13*('A630'!J4-'A750'!J4))),"")</f>
        <v/>
      </c>
      <c r="K4" s="14">
        <f>IFERROR(Parameters!$B$25*(('A630'!K4-'A750'!K4)/(('A450'!K4-'A750'!K4)-Parameters!$B$13*('A630'!K4-'A750'!K4))),"")</f>
        <v/>
      </c>
      <c r="L4" s="14">
        <f>IFERROR(Parameters!$B$25*(('A630'!L4-'A750'!L4)/(('A450'!L4-'A750'!L4)-Parameters!$B$13*('A630'!L4-'A750'!L4))),"")</f>
        <v/>
      </c>
      <c r="M4" s="14">
        <f>IFERROR(Parameters!$B$25*(('A630'!M4-'A750'!M4)/(('A450'!M4-'A750'!M4)-Parameters!$B$13*('A630'!M4-'A750'!M4))),"")</f>
        <v/>
      </c>
    </row>
    <row r="5">
      <c r="A5" s="12" t="inlineStr">
        <is>
          <t>C</t>
        </is>
      </c>
      <c r="B5" s="14">
        <f>IFERROR(Parameters!$B$25*(('A630'!B5-'A750'!B5)/(('A450'!B5-'A750'!B5)-Parameters!$B$13*('A630'!B5-'A750'!B5))),"")</f>
        <v/>
      </c>
      <c r="C5" s="14">
        <f>IFERROR(Parameters!$B$25*(('A630'!C5-'A750'!C5)/(('A450'!C5-'A750'!C5)-Parameters!$B$13*('A630'!C5-'A750'!C5))),"")</f>
        <v/>
      </c>
      <c r="D5" s="14">
        <f>IFERROR(Parameters!$B$25*(('A630'!D5-'A750'!D5)/(('A450'!D5-'A750'!D5)-Parameters!$B$13*('A630'!D5-'A750'!D5))),"")</f>
        <v/>
      </c>
      <c r="E5" s="14">
        <f>IFERROR(Parameters!$B$25*(('A630'!E5-'A750'!E5)/(('A450'!E5-'A750'!E5)-Parameters!$B$13*('A630'!E5-'A750'!E5))),"")</f>
        <v/>
      </c>
      <c r="F5" s="14">
        <f>IFERROR(Parameters!$B$25*(('A630'!F5-'A750'!F5)/(('A450'!F5-'A750'!F5)-Parameters!$B$13*('A630'!F5-'A750'!F5))),"")</f>
        <v/>
      </c>
      <c r="G5" s="14">
        <f>IFERROR(Parameters!$B$25*(('A630'!G5-'A750'!G5)/(('A450'!G5-'A750'!G5)-Parameters!$B$13*('A630'!G5-'A750'!G5))),"")</f>
        <v/>
      </c>
      <c r="H5" s="14">
        <f>IFERROR(Parameters!$B$25*(('A630'!H5-'A750'!H5)/(('A450'!H5-'A750'!H5)-Parameters!$B$13*('A630'!H5-'A750'!H5))),"")</f>
        <v/>
      </c>
      <c r="I5" s="14">
        <f>IFERROR(Parameters!$B$25*(('A630'!I5-'A750'!I5)/(('A450'!I5-'A750'!I5)-Parameters!$B$13*('A630'!I5-'A750'!I5))),"")</f>
        <v/>
      </c>
      <c r="J5" s="14">
        <f>IFERROR(Parameters!$B$25*(('A630'!J5-'A750'!J5)/(('A450'!J5-'A750'!J5)-Parameters!$B$13*('A630'!J5-'A750'!J5))),"")</f>
        <v/>
      </c>
      <c r="K5" s="14">
        <f>IFERROR(Parameters!$B$25*(('A630'!K5-'A750'!K5)/(('A450'!K5-'A750'!K5)-Parameters!$B$13*('A630'!K5-'A750'!K5))),"")</f>
        <v/>
      </c>
      <c r="L5" s="14">
        <f>IFERROR(Parameters!$B$25*(('A630'!L5-'A750'!L5)/(('A450'!L5-'A750'!L5)-Parameters!$B$13*('A630'!L5-'A750'!L5))),"")</f>
        <v/>
      </c>
      <c r="M5" s="14">
        <f>IFERROR(Parameters!$B$25*(('A630'!M5-'A750'!M5)/(('A450'!M5-'A750'!M5)-Parameters!$B$13*('A630'!M5-'A750'!M5))),"")</f>
        <v/>
      </c>
    </row>
    <row r="6">
      <c r="A6" s="12" t="inlineStr">
        <is>
          <t>D</t>
        </is>
      </c>
      <c r="B6" s="14">
        <f>IFERROR(Parameters!$B$25*(('A630'!B6-'A750'!B6)/(('A450'!B6-'A750'!B6)-Parameters!$B$13*('A630'!B6-'A750'!B6))),"")</f>
        <v/>
      </c>
      <c r="C6" s="14">
        <f>IFERROR(Parameters!$B$25*(('A630'!C6-'A750'!C6)/(('A450'!C6-'A750'!C6)-Parameters!$B$13*('A630'!C6-'A750'!C6))),"")</f>
        <v/>
      </c>
      <c r="D6" s="14">
        <f>IFERROR(Parameters!$B$25*(('A630'!D6-'A750'!D6)/(('A450'!D6-'A750'!D6)-Parameters!$B$13*('A630'!D6-'A750'!D6))),"")</f>
        <v/>
      </c>
      <c r="E6" s="14">
        <f>IFERROR(Parameters!$B$25*(('A630'!E6-'A750'!E6)/(('A450'!E6-'A750'!E6)-Parameters!$B$13*('A630'!E6-'A750'!E6))),"")</f>
        <v/>
      </c>
      <c r="F6" s="14">
        <f>IFERROR(Parameters!$B$25*(('A630'!F6-'A750'!F6)/(('A450'!F6-'A750'!F6)-Parameters!$B$13*('A630'!F6-'A750'!F6))),"")</f>
        <v/>
      </c>
      <c r="G6" s="14">
        <f>IFERROR(Parameters!$B$25*(('A630'!G6-'A750'!G6)/(('A450'!G6-'A750'!G6)-Parameters!$B$13*('A630'!G6-'A750'!G6))),"")</f>
        <v/>
      </c>
      <c r="H6" s="14">
        <f>IFERROR(Parameters!$B$25*(('A630'!H6-'A750'!H6)/(('A450'!H6-'A750'!H6)-Parameters!$B$13*('A630'!H6-'A750'!H6))),"")</f>
        <v/>
      </c>
      <c r="I6" s="14">
        <f>IFERROR(Parameters!$B$25*(('A630'!I6-'A750'!I6)/(('A450'!I6-'A750'!I6)-Parameters!$B$13*('A630'!I6-'A750'!I6))),"")</f>
        <v/>
      </c>
      <c r="J6" s="14">
        <f>IFERROR(Parameters!$B$25*(('A630'!J6-'A750'!J6)/(('A450'!J6-'A750'!J6)-Parameters!$B$13*('A630'!J6-'A750'!J6))),"")</f>
        <v/>
      </c>
      <c r="K6" s="14">
        <f>IFERROR(Parameters!$B$25*(('A630'!K6-'A750'!K6)/(('A450'!K6-'A750'!K6)-Parameters!$B$13*('A630'!K6-'A750'!K6))),"")</f>
        <v/>
      </c>
      <c r="L6" s="14">
        <f>IFERROR(Parameters!$B$25*(('A630'!L6-'A750'!L6)/(('A450'!L6-'A750'!L6)-Parameters!$B$13*('A630'!L6-'A750'!L6))),"")</f>
        <v/>
      </c>
      <c r="M6" s="14">
        <f>IFERROR(Parameters!$B$25*(('A630'!M6-'A750'!M6)/(('A450'!M6-'A750'!M6)-Parameters!$B$13*('A630'!M6-'A750'!M6))),"")</f>
        <v/>
      </c>
    </row>
    <row r="7">
      <c r="A7" s="12" t="inlineStr">
        <is>
          <t>E</t>
        </is>
      </c>
      <c r="B7" s="14">
        <f>IFERROR(Parameters!$B$25*(('A630'!B7-'A750'!B7)/(('A450'!B7-'A750'!B7)-Parameters!$B$13*('A630'!B7-'A750'!B7))),"")</f>
        <v/>
      </c>
      <c r="C7" s="14">
        <f>IFERROR(Parameters!$B$25*(('A630'!C7-'A750'!C7)/(('A450'!C7-'A750'!C7)-Parameters!$B$13*('A630'!C7-'A750'!C7))),"")</f>
        <v/>
      </c>
      <c r="D7" s="14">
        <f>IFERROR(Parameters!$B$25*(('A630'!D7-'A750'!D7)/(('A450'!D7-'A750'!D7)-Parameters!$B$13*('A630'!D7-'A750'!D7))),"")</f>
        <v/>
      </c>
      <c r="E7" s="14">
        <f>IFERROR(Parameters!$B$25*(('A630'!E7-'A750'!E7)/(('A450'!E7-'A750'!E7)-Parameters!$B$13*('A630'!E7-'A750'!E7))),"")</f>
        <v/>
      </c>
      <c r="F7" s="14">
        <f>IFERROR(Parameters!$B$25*(('A630'!F7-'A750'!F7)/(('A450'!F7-'A750'!F7)-Parameters!$B$13*('A630'!F7-'A750'!F7))),"")</f>
        <v/>
      </c>
      <c r="G7" s="14">
        <f>IFERROR(Parameters!$B$25*(('A630'!G7-'A750'!G7)/(('A450'!G7-'A750'!G7)-Parameters!$B$13*('A630'!G7-'A750'!G7))),"")</f>
        <v/>
      </c>
      <c r="H7" s="14">
        <f>IFERROR(Parameters!$B$25*(('A630'!H7-'A750'!H7)/(('A450'!H7-'A750'!H7)-Parameters!$B$13*('A630'!H7-'A750'!H7))),"")</f>
        <v/>
      </c>
      <c r="I7" s="14">
        <f>IFERROR(Parameters!$B$25*(('A630'!I7-'A750'!I7)/(('A450'!I7-'A750'!I7)-Parameters!$B$13*('A630'!I7-'A750'!I7))),"")</f>
        <v/>
      </c>
      <c r="J7" s="14">
        <f>IFERROR(Parameters!$B$25*(('A630'!J7-'A750'!J7)/(('A450'!J7-'A750'!J7)-Parameters!$B$13*('A630'!J7-'A750'!J7))),"")</f>
        <v/>
      </c>
      <c r="K7" s="14">
        <f>IFERROR(Parameters!$B$25*(('A630'!K7-'A750'!K7)/(('A450'!K7-'A750'!K7)-Parameters!$B$13*('A630'!K7-'A750'!K7))),"")</f>
        <v/>
      </c>
      <c r="L7" s="14">
        <f>IFERROR(Parameters!$B$25*(('A630'!L7-'A750'!L7)/(('A450'!L7-'A750'!L7)-Parameters!$B$13*('A630'!L7-'A750'!L7))),"")</f>
        <v/>
      </c>
      <c r="M7" s="14">
        <f>IFERROR(Parameters!$B$25*(('A630'!M7-'A750'!M7)/(('A450'!M7-'A750'!M7)-Parameters!$B$13*('A630'!M7-'A750'!M7))),"")</f>
        <v/>
      </c>
    </row>
    <row r="8">
      <c r="A8" s="12" t="inlineStr">
        <is>
          <t>F</t>
        </is>
      </c>
      <c r="B8" s="14">
        <f>IFERROR(Parameters!$B$25*(('A630'!B8-'A750'!B8)/(('A450'!B8-'A750'!B8)-Parameters!$B$13*('A630'!B8-'A750'!B8))),"")</f>
        <v/>
      </c>
      <c r="C8" s="14">
        <f>IFERROR(Parameters!$B$25*(('A630'!C8-'A750'!C8)/(('A450'!C8-'A750'!C8)-Parameters!$B$13*('A630'!C8-'A750'!C8))),"")</f>
        <v/>
      </c>
      <c r="D8" s="14">
        <f>IFERROR(Parameters!$B$25*(('A630'!D8-'A750'!D8)/(('A450'!D8-'A750'!D8)-Parameters!$B$13*('A630'!D8-'A750'!D8))),"")</f>
        <v/>
      </c>
      <c r="E8" s="14">
        <f>IFERROR(Parameters!$B$25*(('A630'!E8-'A750'!E8)/(('A450'!E8-'A750'!E8)-Parameters!$B$13*('A630'!E8-'A750'!E8))),"")</f>
        <v/>
      </c>
      <c r="F8" s="14">
        <f>IFERROR(Parameters!$B$25*(('A630'!F8-'A750'!F8)/(('A450'!F8-'A750'!F8)-Parameters!$B$13*('A630'!F8-'A750'!F8))),"")</f>
        <v/>
      </c>
      <c r="G8" s="14">
        <f>IFERROR(Parameters!$B$25*(('A630'!G8-'A750'!G8)/(('A450'!G8-'A750'!G8)-Parameters!$B$13*('A630'!G8-'A750'!G8))),"")</f>
        <v/>
      </c>
      <c r="H8" s="14">
        <f>IFERROR(Parameters!$B$25*(('A630'!H8-'A750'!H8)/(('A450'!H8-'A750'!H8)-Parameters!$B$13*('A630'!H8-'A750'!H8))),"")</f>
        <v/>
      </c>
      <c r="I8" s="14">
        <f>IFERROR(Parameters!$B$25*(('A630'!I8-'A750'!I8)/(('A450'!I8-'A750'!I8)-Parameters!$B$13*('A630'!I8-'A750'!I8))),"")</f>
        <v/>
      </c>
      <c r="J8" s="14">
        <f>IFERROR(Parameters!$B$25*(('A630'!J8-'A750'!J8)/(('A450'!J8-'A750'!J8)-Parameters!$B$13*('A630'!J8-'A750'!J8))),"")</f>
        <v/>
      </c>
      <c r="K8" s="14">
        <f>IFERROR(Parameters!$B$25*(('A630'!K8-'A750'!K8)/(('A450'!K8-'A750'!K8)-Parameters!$B$13*('A630'!K8-'A750'!K8))),"")</f>
        <v/>
      </c>
      <c r="L8" s="14">
        <f>IFERROR(Parameters!$B$25*(('A630'!L8-'A750'!L8)/(('A450'!L8-'A750'!L8)-Parameters!$B$13*('A630'!L8-'A750'!L8))),"")</f>
        <v/>
      </c>
      <c r="M8" s="14">
        <f>IFERROR(Parameters!$B$25*(('A630'!M8-'A750'!M8)/(('A450'!M8-'A750'!M8)-Parameters!$B$13*('A630'!M8-'A750'!M8))),"")</f>
        <v/>
      </c>
    </row>
    <row r="9">
      <c r="A9" s="12" t="inlineStr">
        <is>
          <t>G</t>
        </is>
      </c>
      <c r="B9" s="14">
        <f>IFERROR(Parameters!$B$25*(('A630'!B9-'A750'!B9)/(('A450'!B9-'A750'!B9)-Parameters!$B$13*('A630'!B9-'A750'!B9))),"")</f>
        <v/>
      </c>
      <c r="C9" s="14">
        <f>IFERROR(Parameters!$B$25*(('A630'!C9-'A750'!C9)/(('A450'!C9-'A750'!C9)-Parameters!$B$13*('A630'!C9-'A750'!C9))),"")</f>
        <v/>
      </c>
      <c r="D9" s="14">
        <f>IFERROR(Parameters!$B$25*(('A630'!D9-'A750'!D9)/(('A450'!D9-'A750'!D9)-Parameters!$B$13*('A630'!D9-'A750'!D9))),"")</f>
        <v/>
      </c>
      <c r="E9" s="14">
        <f>IFERROR(Parameters!$B$25*(('A630'!E9-'A750'!E9)/(('A450'!E9-'A750'!E9)-Parameters!$B$13*('A630'!E9-'A750'!E9))),"")</f>
        <v/>
      </c>
      <c r="F9" s="14">
        <f>IFERROR(Parameters!$B$25*(('A630'!F9-'A750'!F9)/(('A450'!F9-'A750'!F9)-Parameters!$B$13*('A630'!F9-'A750'!F9))),"")</f>
        <v/>
      </c>
      <c r="G9" s="14">
        <f>IFERROR(Parameters!$B$25*(('A630'!G9-'A750'!G9)/(('A450'!G9-'A750'!G9)-Parameters!$B$13*('A630'!G9-'A750'!G9))),"")</f>
        <v/>
      </c>
      <c r="H9" s="14">
        <f>IFERROR(Parameters!$B$25*(('A630'!H9-'A750'!H9)/(('A450'!H9-'A750'!H9)-Parameters!$B$13*('A630'!H9-'A750'!H9))),"")</f>
        <v/>
      </c>
      <c r="I9" s="14">
        <f>IFERROR(Parameters!$B$25*(('A630'!I9-'A750'!I9)/(('A450'!I9-'A750'!I9)-Parameters!$B$13*('A630'!I9-'A750'!I9))),"")</f>
        <v/>
      </c>
      <c r="J9" s="14">
        <f>IFERROR(Parameters!$B$25*(('A630'!J9-'A750'!J9)/(('A450'!J9-'A750'!J9)-Parameters!$B$13*('A630'!J9-'A750'!J9))),"")</f>
        <v/>
      </c>
      <c r="K9" s="14">
        <f>IFERROR(Parameters!$B$25*(('A630'!K9-'A750'!K9)/(('A450'!K9-'A750'!K9)-Parameters!$B$13*('A630'!K9-'A750'!K9))),"")</f>
        <v/>
      </c>
      <c r="L9" s="14">
        <f>IFERROR(Parameters!$B$25*(('A630'!L9-'A750'!L9)/(('A450'!L9-'A750'!L9)-Parameters!$B$13*('A630'!L9-'A750'!L9))),"")</f>
        <v/>
      </c>
      <c r="M9" s="14">
        <f>IFERROR(Parameters!$B$25*(('A630'!M9-'A750'!M9)/(('A450'!M9-'A750'!M9)-Parameters!$B$13*('A630'!M9-'A750'!M9))),"")</f>
        <v/>
      </c>
    </row>
    <row r="10">
      <c r="A10" s="12" t="inlineStr">
        <is>
          <t>H</t>
        </is>
      </c>
      <c r="B10" s="14">
        <f>IFERROR(Parameters!$B$25*(('A630'!B10-'A750'!B10)/(('A450'!B10-'A750'!B10)-Parameters!$B$13*('A630'!B10-'A750'!B10))),"")</f>
        <v/>
      </c>
      <c r="C10" s="14">
        <f>IFERROR(Parameters!$B$25*(('A630'!C10-'A750'!C10)/(('A450'!C10-'A750'!C10)-Parameters!$B$13*('A630'!C10-'A750'!C10))),"")</f>
        <v/>
      </c>
      <c r="D10" s="14">
        <f>IFERROR(Parameters!$B$25*(('A630'!D10-'A750'!D10)/(('A450'!D10-'A750'!D10)-Parameters!$B$13*('A630'!D10-'A750'!D10))),"")</f>
        <v/>
      </c>
      <c r="E10" s="14">
        <f>IFERROR(Parameters!$B$25*(('A630'!E10-'A750'!E10)/(('A450'!E10-'A750'!E10)-Parameters!$B$13*('A630'!E10-'A750'!E10))),"")</f>
        <v/>
      </c>
      <c r="F10" s="14">
        <f>IFERROR(Parameters!$B$25*(('A630'!F10-'A750'!F10)/(('A450'!F10-'A750'!F10)-Parameters!$B$13*('A630'!F10-'A750'!F10))),"")</f>
        <v/>
      </c>
      <c r="G10" s="14">
        <f>IFERROR(Parameters!$B$25*(('A630'!G10-'A750'!G10)/(('A450'!G10-'A750'!G10)-Parameters!$B$13*('A630'!G10-'A750'!G10))),"")</f>
        <v/>
      </c>
      <c r="H10" s="14">
        <f>IFERROR(Parameters!$B$25*(('A630'!H10-'A750'!H10)/(('A450'!H10-'A750'!H10)-Parameters!$B$13*('A630'!H10-'A750'!H10))),"")</f>
        <v/>
      </c>
      <c r="I10" s="14">
        <f>IFERROR(Parameters!$B$25*(('A630'!I10-'A750'!I10)/(('A450'!I10-'A750'!I10)-Parameters!$B$13*('A630'!I10-'A750'!I10))),"")</f>
        <v/>
      </c>
      <c r="J10" s="14">
        <f>IFERROR(Parameters!$B$25*(('A630'!J10-'A750'!J10)/(('A450'!J10-'A750'!J10)-Parameters!$B$13*('A630'!J10-'A750'!J10))),"")</f>
        <v/>
      </c>
      <c r="K10" s="14">
        <f>IFERROR(Parameters!$B$25*(('A630'!K10-'A750'!K10)/(('A450'!K10-'A750'!K10)-Parameters!$B$13*('A630'!K10-'A750'!K10))),"")</f>
        <v/>
      </c>
      <c r="L10" s="14">
        <f>IFERROR(Parameters!$B$25*(('A630'!L10-'A750'!L10)/(('A450'!L10-'A750'!L10)-Parameters!$B$13*('A630'!L10-'A750'!L10))),"")</f>
        <v/>
      </c>
      <c r="M10" s="14">
        <f>IFERROR(Parameters!$B$25*(('A630'!M10-'A750'!M10)/(('A450'!M10-'A750'!M10)-Parameters!$B$13*('A630'!M10-'A750'!M10))),"")</f>
        <v/>
      </c>
    </row>
    <row r="12">
      <c r="A12" s="2" t="inlineStr">
        <is>
          <t>Tip: lege/nul cellen in de invoer geven lege cellen hier (IFERROR).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Statistiek per kolom (replicaten = 8 kanalen A-H)</t>
        </is>
      </c>
    </row>
    <row r="3">
      <c r="A3" s="4" t="inlineStr">
        <is>
          <t>Kolom</t>
        </is>
      </c>
      <c r="B3" s="11" t="n">
        <v>1</v>
      </c>
      <c r="C3" s="11" t="n">
        <v>2</v>
      </c>
      <c r="D3" s="11" t="n">
        <v>3</v>
      </c>
      <c r="E3" s="11" t="n">
        <v>4</v>
      </c>
      <c r="F3" s="11" t="n">
        <v>5</v>
      </c>
      <c r="G3" s="11" t="n">
        <v>6</v>
      </c>
      <c r="H3" s="11" t="n">
        <v>7</v>
      </c>
      <c r="I3" s="11" t="n">
        <v>8</v>
      </c>
      <c r="J3" s="11" t="n">
        <v>9</v>
      </c>
      <c r="K3" s="11" t="n">
        <v>10</v>
      </c>
      <c r="L3" s="11" t="n">
        <v>11</v>
      </c>
      <c r="M3" s="11" t="n">
        <v>12</v>
      </c>
    </row>
    <row r="4">
      <c r="A4" s="4" t="inlineStr">
        <is>
          <t>Gemiddelde (uL)</t>
        </is>
      </c>
      <c r="B4" s="15">
        <f>IFERROR(AVERAGE(Volumes!B3:B10),"")</f>
        <v/>
      </c>
      <c r="C4" s="15">
        <f>IFERROR(AVERAGE(Volumes!C3:C10),"")</f>
        <v/>
      </c>
      <c r="D4" s="15">
        <f>IFERROR(AVERAGE(Volumes!D3:D10),"")</f>
        <v/>
      </c>
      <c r="E4" s="15">
        <f>IFERROR(AVERAGE(Volumes!E3:E10),"")</f>
        <v/>
      </c>
      <c r="F4" s="15">
        <f>IFERROR(AVERAGE(Volumes!F3:F10),"")</f>
        <v/>
      </c>
      <c r="G4" s="15">
        <f>IFERROR(AVERAGE(Volumes!G3:G10),"")</f>
        <v/>
      </c>
      <c r="H4" s="15">
        <f>IFERROR(AVERAGE(Volumes!H3:H10),"")</f>
        <v/>
      </c>
      <c r="I4" s="15">
        <f>IFERROR(AVERAGE(Volumes!I3:I10),"")</f>
        <v/>
      </c>
      <c r="J4" s="15">
        <f>IFERROR(AVERAGE(Volumes!J3:J10),"")</f>
        <v/>
      </c>
      <c r="K4" s="15">
        <f>IFERROR(AVERAGE(Volumes!K3:K10),"")</f>
        <v/>
      </c>
      <c r="L4" s="15">
        <f>IFERROR(AVERAGE(Volumes!L3:L10),"")</f>
        <v/>
      </c>
      <c r="M4" s="15">
        <f>IFERROR(AVERAGE(Volumes!M3:M10),"")</f>
        <v/>
      </c>
    </row>
    <row r="5">
      <c r="A5" s="4" t="inlineStr">
        <is>
          <t>%D (afwijking)</t>
        </is>
      </c>
      <c r="B5" s="16">
        <f>IFERROR((B4-Parameters!$B$9)/Parameters!$B$9,"")</f>
        <v/>
      </c>
      <c r="C5" s="16">
        <f>IFERROR((C4-Parameters!$B$9)/Parameters!$B$9,"")</f>
        <v/>
      </c>
      <c r="D5" s="16">
        <f>IFERROR((D4-Parameters!$B$9)/Parameters!$B$9,"")</f>
        <v/>
      </c>
      <c r="E5" s="16">
        <f>IFERROR((E4-Parameters!$B$9)/Parameters!$B$9,"")</f>
        <v/>
      </c>
      <c r="F5" s="16">
        <f>IFERROR((F4-Parameters!$B$9)/Parameters!$B$9,"")</f>
        <v/>
      </c>
      <c r="G5" s="16">
        <f>IFERROR((G4-Parameters!$B$9)/Parameters!$B$9,"")</f>
        <v/>
      </c>
      <c r="H5" s="16">
        <f>IFERROR((H4-Parameters!$B$9)/Parameters!$B$9,"")</f>
        <v/>
      </c>
      <c r="I5" s="16">
        <f>IFERROR((I4-Parameters!$B$9)/Parameters!$B$9,"")</f>
        <v/>
      </c>
      <c r="J5" s="16">
        <f>IFERROR((J4-Parameters!$B$9)/Parameters!$B$9,"")</f>
        <v/>
      </c>
      <c r="K5" s="16">
        <f>IFERROR((K4-Parameters!$B$9)/Parameters!$B$9,"")</f>
        <v/>
      </c>
      <c r="L5" s="16">
        <f>IFERROR((L4-Parameters!$B$9)/Parameters!$B$9,"")</f>
        <v/>
      </c>
      <c r="M5" s="16">
        <f>IFERROR((M4-Parameters!$B$9)/Parameters!$B$9,"")</f>
        <v/>
      </c>
    </row>
    <row r="6">
      <c r="A6" s="4" t="inlineStr">
        <is>
          <t>SD (uL)</t>
        </is>
      </c>
      <c r="B6" s="15">
        <f>IFERROR(STDEV(Volumes!B3:B10),"")</f>
        <v/>
      </c>
      <c r="C6" s="15">
        <f>IFERROR(STDEV(Volumes!C3:C10),"")</f>
        <v/>
      </c>
      <c r="D6" s="15">
        <f>IFERROR(STDEV(Volumes!D3:D10),"")</f>
        <v/>
      </c>
      <c r="E6" s="15">
        <f>IFERROR(STDEV(Volumes!E3:E10),"")</f>
        <v/>
      </c>
      <c r="F6" s="15">
        <f>IFERROR(STDEV(Volumes!F3:F10),"")</f>
        <v/>
      </c>
      <c r="G6" s="15">
        <f>IFERROR(STDEV(Volumes!G3:G10),"")</f>
        <v/>
      </c>
      <c r="H6" s="15">
        <f>IFERROR(STDEV(Volumes!H3:H10),"")</f>
        <v/>
      </c>
      <c r="I6" s="15">
        <f>IFERROR(STDEV(Volumes!I3:I10),"")</f>
        <v/>
      </c>
      <c r="J6" s="15">
        <f>IFERROR(STDEV(Volumes!J3:J10),"")</f>
        <v/>
      </c>
      <c r="K6" s="15">
        <f>IFERROR(STDEV(Volumes!K3:K10),"")</f>
        <v/>
      </c>
      <c r="L6" s="15">
        <f>IFERROR(STDEV(Volumes!L3:L10),"")</f>
        <v/>
      </c>
      <c r="M6" s="15">
        <f>IFERROR(STDEV(Volumes!M3:M10),"")</f>
        <v/>
      </c>
    </row>
    <row r="7">
      <c r="A7" s="4" t="inlineStr">
        <is>
          <t>CV</t>
        </is>
      </c>
      <c r="B7" s="16">
        <f>IFERROR(B6/B4,"")</f>
        <v/>
      </c>
      <c r="C7" s="16">
        <f>IFERROR(C6/C4,"")</f>
        <v/>
      </c>
      <c r="D7" s="16">
        <f>IFERROR(D6/D4,"")</f>
        <v/>
      </c>
      <c r="E7" s="16">
        <f>IFERROR(E6/E4,"")</f>
        <v/>
      </c>
      <c r="F7" s="16">
        <f>IFERROR(F6/F4,"")</f>
        <v/>
      </c>
      <c r="G7" s="16">
        <f>IFERROR(G6/G4,"")</f>
        <v/>
      </c>
      <c r="H7" s="16">
        <f>IFERROR(H6/H4,"")</f>
        <v/>
      </c>
      <c r="I7" s="16">
        <f>IFERROR(I6/I4,"")</f>
        <v/>
      </c>
      <c r="J7" s="16">
        <f>IFERROR(J6/J4,"")</f>
        <v/>
      </c>
      <c r="K7" s="16">
        <f>IFERROR(K6/K4,"")</f>
        <v/>
      </c>
      <c r="L7" s="16">
        <f>IFERROR(L6/L4,"")</f>
        <v/>
      </c>
      <c r="M7" s="16">
        <f>IFERROR(M6/M4,"")</f>
        <v/>
      </c>
    </row>
    <row r="10">
      <c r="A10" s="2" t="inlineStr">
        <is>
          <t>Rood = |%D| of CV &gt; 10%   |   Oranje = 5-10%   |   Groen = &lt; 5%</t>
        </is>
      </c>
    </row>
    <row r="12">
      <c r="A12" s="3" t="inlineStr">
        <is>
          <t>Totaaloverzicht (alle wells)</t>
        </is>
      </c>
    </row>
    <row r="13">
      <c r="A13" s="4" t="inlineStr">
        <is>
          <t>Gemiddelde (uL)</t>
        </is>
      </c>
      <c r="B13" s="17">
        <f>IFERROR(AVERAGE(Volumes!B3:M10),"")</f>
        <v/>
      </c>
    </row>
    <row r="14">
      <c r="A14" s="4" t="inlineStr">
        <is>
          <t>Globale %D</t>
        </is>
      </c>
      <c r="B14" s="18">
        <f>IFERROR((B13-Parameters!$B$9)/Parameters!$B$9,"")</f>
        <v/>
      </c>
    </row>
    <row r="15">
      <c r="A15" s="4" t="inlineStr">
        <is>
          <t>Globale SD (uL)</t>
        </is>
      </c>
      <c r="B15" s="17">
        <f>IFERROR(STDEV(Volumes!B3:M10),"")</f>
        <v/>
      </c>
    </row>
    <row r="16">
      <c r="A16" s="4" t="inlineStr">
        <is>
          <t>Globale CV</t>
        </is>
      </c>
      <c r="B16" s="18">
        <f>IFERROR(B15/B13,"")</f>
        <v/>
      </c>
    </row>
  </sheetData>
  <conditionalFormatting sqref="B5:M5">
    <cfRule type="cellIs" priority="1" operator="greaterThan" dxfId="0">
      <formula>0.10</formula>
    </cfRule>
    <cfRule type="cellIs" priority="2" operator="lessThan" dxfId="0">
      <formula>-0.10</formula>
    </cfRule>
    <cfRule type="cellIs" priority="3" operator="between" dxfId="1">
      <formula>0.05</formula>
      <formula>0.10</formula>
    </cfRule>
    <cfRule type="cellIs" priority="4" operator="between" dxfId="1">
      <formula>-0.10</formula>
      <formula>-0.05</formula>
    </cfRule>
    <cfRule type="cellIs" priority="5" operator="between" dxfId="2">
      <formula>-0.05</formula>
      <formula>0.05</formula>
    </cfRule>
  </conditionalFormatting>
  <conditionalFormatting sqref="B7:M7">
    <cfRule type="cellIs" priority="6" operator="greaterThan" dxfId="0">
      <formula>0.10</formula>
    </cfRule>
    <cfRule type="cellIs" priority="7" operator="lessThan" dxfId="0">
      <formula>-0.10</formula>
    </cfRule>
    <cfRule type="cellIs" priority="8" operator="between" dxfId="1">
      <formula>0.05</formula>
      <formula>0.10</formula>
    </cfRule>
    <cfRule type="cellIs" priority="9" operator="between" dxfId="1">
      <formula>-0.10</formula>
      <formula>-0.05</formula>
    </cfRule>
    <cfRule type="cellIs" priority="10" operator="between" dxfId="2">
      <formula>-0.05</formula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2026-06-15T08:47:51Z</dcterms:created>
  <dcterms:modified xsi:type="dcterms:W3CDTF">2026-06-15T08:47:51Z</dcterms:modified>
</cp:coreProperties>
</file>